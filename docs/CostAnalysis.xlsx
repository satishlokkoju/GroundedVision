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<sst xmlns="http://schemas.openxmlformats.org/spreadsheetml/2006/main" count="54" uniqueCount="42">
  <si>
    <t xml:space="preserve">Alibaba Managed (endpoint and data storage are both located in the US (Virginia) region)</t>
  </si>
  <si>
    <t xml:space="preserve">Metric</t>
  </si>
  <si>
    <t xml:space="preserve">Qwen 3-VL-235b-a22b-instruct</t>
  </si>
  <si>
    <t xml:space="preserve">Qwen 3-VL-235b-a22b-thinking</t>
  </si>
  <si>
    <t xml:space="preserve">Qwen 3-VL-32B  (Thinking and Instruct)</t>
  </si>
  <si>
    <t xml:space="preserve">Claude 4.5 Sonnet (Anthropic API)</t>
  </si>
  <si>
    <t xml:space="preserve">AWS SageMaker ml.inf2.24xlarge (Self-Hosted Qwen 32B) / hr *</t>
  </si>
  <si>
    <t xml:space="preserve">AWS SageMaker ml.g6.24xlarge (Self-Hosted Qwen 32B) / hr *</t>
  </si>
  <si>
    <t xml:space="preserve">Input Cost (Million Tokens)</t>
  </si>
  <si>
    <t xml:space="preserve">0.16</t>
  </si>
  <si>
    <t xml:space="preserve">$3.00</t>
  </si>
  <si>
    <t xml:space="preserve">$6.49</t>
  </si>
  <si>
    <t xml:space="preserve">Output Cost (Million Tokens)</t>
  </si>
  <si>
    <t xml:space="preserve">0.64</t>
  </si>
  <si>
    <t xml:space="preserve">$15.00</t>
  </si>
  <si>
    <t xml:space="preserve">fixed</t>
  </si>
  <si>
    <t xml:space="preserve">Est. Blended Cost*</t>
  </si>
  <si>
    <t xml:space="preserve">Breakeven Point</t>
  </si>
  <si>
    <t xml:space="preserve">N/A (Pay-per-use)</t>
  </si>
  <si>
    <t xml:space="preserve">SageMaker Self Hosted</t>
  </si>
  <si>
    <t xml:space="preserve">On demand</t>
  </si>
  <si>
    <t xml:space="preserve">Reserved</t>
  </si>
  <si>
    <t xml:space="preserve">Inferentia</t>
  </si>
  <si>
    <t xml:space="preserve">Nvidia</t>
  </si>
  <si>
    <t xml:space="preserve">Yearly Cost</t>
  </si>
  <si>
    <t xml:space="preserve">Monthly Cost</t>
  </si>
  <si>
    <t xml:space="preserve">Width</t>
  </si>
  <si>
    <t xml:space="preserve">Height</t>
  </si>
  <si>
    <t xml:space="preserve">Input Image Resolution</t>
  </si>
  <si>
    <t xml:space="preserve">Input Prompt tokens (Claude)</t>
  </si>
  <si>
    <t xml:space="preserve">Input Prompt tokens (Qwen)</t>
  </si>
  <si>
    <t xml:space="preserve">Qwen 3VL 32b Patch Size </t>
  </si>
  <si>
    <t xml:space="preserve">Claude Sonnet 4.5 (Guess)</t>
  </si>
  <si>
    <t xml:space="preserve">Token Estimation / request</t>
  </si>
  <si>
    <t xml:space="preserve">Cost for 1000 requests</t>
  </si>
  <si>
    <t xml:space="preserve">Total Cost 1000 Requests</t>
  </si>
  <si>
    <t xml:space="preserve">Total Cost 10000 Requests</t>
  </si>
  <si>
    <t xml:space="preserve">Claude</t>
  </si>
  <si>
    <t xml:space="preserve">Input</t>
  </si>
  <si>
    <t xml:space="preserve">Output</t>
  </si>
  <si>
    <t xml:space="preserve">Qwen 32b VL </t>
  </si>
  <si>
    <t xml:space="preserve">Qwen 3-VL 235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</si>
</sst>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#,##0.00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I4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40" activeCellId="0" sqref="E40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4.47"/>
    <col collapsed="false" customWidth="true" hidden="false" outlineLevel="0" max="5" min="4" style="1" width="30.18"/>
    <col collapsed="false" customWidth="true" hidden="false" outlineLevel="0" max="6" min="6" style="1" width="38.12"/>
    <col collapsed="false" customWidth="true" hidden="false" outlineLevel="0" max="7" min="7" style="1" width="36.57"/>
    <col collapsed="false" customWidth="true" hidden="false" outlineLevel="0" max="9" min="8" style="1" width="37.69"/>
  </cols>
  <sheetData>
    <row r="4" customFormat="false" ht="12.8" hidden="false" customHeight="false" outlineLevel="0" collapsed="false">
      <c r="D4" s="2" t="s">
        <v>0</v>
      </c>
      <c r="E4" s="2"/>
      <c r="F4" s="2"/>
    </row>
    <row r="5" customFormat="false" ht="23.85" hidden="false" customHeight="false" outlineLevel="0" collapsed="false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</row>
    <row r="6" customFormat="false" ht="12.8" hidden="false" customHeight="false" outlineLevel="0" collapsed="false">
      <c r="C6" s="3" t="s">
        <v>8</v>
      </c>
      <c r="D6" s="4" t="n">
        <v>0.4</v>
      </c>
      <c r="E6" s="4" t="n">
        <v>0.4</v>
      </c>
      <c r="F6" s="5" t="s">
        <v>9</v>
      </c>
      <c r="G6" s="6" t="s">
        <v>10</v>
      </c>
      <c r="H6" s="6" t="s">
        <v>11</v>
      </c>
      <c r="I6" s="7" t="n">
        <v>8.344</v>
      </c>
    </row>
    <row r="7" customFormat="false" ht="12.8" hidden="false" customHeight="false" outlineLevel="0" collapsed="false">
      <c r="C7" s="3" t="s">
        <v>12</v>
      </c>
      <c r="D7" s="4" t="n">
        <v>1.6</v>
      </c>
      <c r="E7" s="4" t="n">
        <v>4</v>
      </c>
      <c r="F7" s="8" t="s">
        <v>13</v>
      </c>
      <c r="G7" s="6" t="s">
        <v>14</v>
      </c>
      <c r="H7" s="6" t="s">
        <v>15</v>
      </c>
      <c r="I7" s="3" t="s">
        <v>15</v>
      </c>
    </row>
    <row r="8" customFormat="false" ht="12.8" hidden="false" customHeight="false" outlineLevel="0" collapsed="false">
      <c r="C8" s="3" t="s">
        <v>16</v>
      </c>
      <c r="D8" s="3"/>
      <c r="E8" s="3"/>
      <c r="F8" s="9" t="n">
        <f aca="false">SUM(F6,F7)</f>
        <v>0</v>
      </c>
      <c r="G8" s="3"/>
      <c r="H8" s="6" t="s">
        <v>15</v>
      </c>
      <c r="I8" s="3" t="s">
        <v>15</v>
      </c>
    </row>
    <row r="9" customFormat="false" ht="12.8" hidden="false" customHeight="false" outlineLevel="0" collapsed="false">
      <c r="C9" s="3" t="s">
        <v>17</v>
      </c>
      <c r="D9" s="10" t="s">
        <v>18</v>
      </c>
      <c r="E9" s="10" t="s">
        <v>18</v>
      </c>
      <c r="F9" s="10" t="s">
        <v>18</v>
      </c>
      <c r="G9" s="10" t="s">
        <v>18</v>
      </c>
      <c r="H9" s="10"/>
      <c r="I9" s="10"/>
    </row>
    <row r="13" customFormat="false" ht="12.8" hidden="false" customHeight="false" outlineLevel="0" collapsed="false">
      <c r="C13" s="11" t="s">
        <v>19</v>
      </c>
      <c r="D13" s="11"/>
      <c r="E13" s="11"/>
      <c r="F13" s="11"/>
      <c r="G13" s="11"/>
    </row>
    <row r="14" customFormat="false" ht="12.8" hidden="false" customHeight="false" outlineLevel="0" collapsed="false">
      <c r="D14" s="11" t="s">
        <v>20</v>
      </c>
      <c r="E14" s="11"/>
      <c r="F14" s="11" t="s">
        <v>21</v>
      </c>
      <c r="G14" s="11"/>
    </row>
    <row r="15" customFormat="false" ht="12.8" hidden="false" customHeight="false" outlineLevel="0" collapsed="false">
      <c r="D15" s="1" t="s">
        <v>22</v>
      </c>
      <c r="E15" s="1" t="s">
        <v>23</v>
      </c>
      <c r="F15" s="1" t="s">
        <v>22</v>
      </c>
      <c r="G15" s="1" t="s">
        <v>23</v>
      </c>
    </row>
    <row r="16" customFormat="false" ht="12.8" hidden="false" customHeight="false" outlineLevel="0" collapsed="false">
      <c r="C16" s="1" t="s">
        <v>24</v>
      </c>
      <c r="D16" s="1" t="n">
        <f aca="false">H6*24*365</f>
        <v>56852.4</v>
      </c>
      <c r="E16" s="12" t="n">
        <f aca="false">I6*24*365</f>
        <v>73093.44</v>
      </c>
    </row>
    <row r="17" customFormat="false" ht="12.8" hidden="false" customHeight="false" outlineLevel="0" collapsed="false">
      <c r="C17" s="1" t="s">
        <v>25</v>
      </c>
      <c r="D17" s="1" t="n">
        <f aca="false">D16/12</f>
        <v>4737.7</v>
      </c>
      <c r="E17" s="12" t="n">
        <f aca="false">E16/12</f>
        <v>6091.12</v>
      </c>
    </row>
    <row r="22" customFormat="false" ht="12.8" hidden="false" customHeight="false" outlineLevel="0" collapsed="false">
      <c r="D22" s="1" t="s">
        <v>26</v>
      </c>
      <c r="E22" s="1" t="s">
        <v>27</v>
      </c>
    </row>
    <row r="23" customFormat="false" ht="12.8" hidden="false" customHeight="false" outlineLevel="0" collapsed="false">
      <c r="C23" s="1" t="s">
        <v>28</v>
      </c>
      <c r="D23" s="10" t="n">
        <v>2048</v>
      </c>
      <c r="E23" s="1" t="n">
        <v>1536</v>
      </c>
    </row>
    <row r="24" customFormat="false" ht="12.8" hidden="false" customHeight="false" outlineLevel="0" collapsed="false">
      <c r="C24" s="1" t="s">
        <v>29</v>
      </c>
      <c r="D24" s="1" t="n">
        <v>1100</v>
      </c>
    </row>
    <row r="25" customFormat="false" ht="12.8" hidden="false" customHeight="false" outlineLevel="0" collapsed="false">
      <c r="C25" s="1" t="s">
        <v>30</v>
      </c>
      <c r="D25" s="1" t="n">
        <v>1600</v>
      </c>
    </row>
    <row r="26" customFormat="false" ht="12.8" hidden="false" customHeight="false" outlineLevel="0" collapsed="false">
      <c r="C26" s="1" t="s">
        <v>31</v>
      </c>
      <c r="D26" s="1" t="n">
        <v>32</v>
      </c>
      <c r="E26" s="1" t="n">
        <v>32</v>
      </c>
    </row>
    <row r="27" customFormat="false" ht="12.8" hidden="false" customHeight="false" outlineLevel="0" collapsed="false">
      <c r="C27" s="1" t="s">
        <v>32</v>
      </c>
      <c r="D27" s="1" t="n">
        <v>32</v>
      </c>
      <c r="E27" s="1" t="n">
        <v>32</v>
      </c>
    </row>
    <row r="34" customFormat="false" ht="12.8" hidden="false" customHeight="false" outlineLevel="0" collapsed="false">
      <c r="C34" s="11" t="s">
        <v>33</v>
      </c>
      <c r="D34" s="11"/>
      <c r="E34" s="11"/>
      <c r="F34" s="1" t="s">
        <v>34</v>
      </c>
      <c r="G34" s="1" t="s">
        <v>35</v>
      </c>
      <c r="H34" s="1" t="s">
        <v>36</v>
      </c>
    </row>
    <row r="35" customFormat="false" ht="12.8" hidden="false" customHeight="false" outlineLevel="0" collapsed="false">
      <c r="C35" s="13" t="s">
        <v>37</v>
      </c>
      <c r="D35" s="1" t="s">
        <v>38</v>
      </c>
      <c r="E35" s="1" t="n">
        <f aca="false">((D23/D26*E23/E26) +2 +D24)*2</f>
        <v>8348</v>
      </c>
      <c r="F35" s="1" t="n">
        <f aca="false">(1000*E35)/1000000*G6</f>
        <v>25.044</v>
      </c>
      <c r="G35" s="13" t="n">
        <f aca="false">SUM(F35:F36)</f>
        <v>31.044</v>
      </c>
      <c r="H35" s="13" t="n">
        <f aca="false">G35*10</f>
        <v>310.44</v>
      </c>
    </row>
    <row r="36" customFormat="false" ht="12.8" hidden="false" customHeight="false" outlineLevel="0" collapsed="false">
      <c r="C36" s="13"/>
      <c r="D36" s="1" t="s">
        <v>39</v>
      </c>
      <c r="E36" s="1" t="n">
        <v>400</v>
      </c>
      <c r="F36" s="1" t="n">
        <f aca="false">E36*1000/1000000*G7</f>
        <v>6</v>
      </c>
      <c r="G36" s="13"/>
      <c r="H36" s="13"/>
    </row>
    <row r="37" customFormat="false" ht="12.8" hidden="false" customHeight="false" outlineLevel="0" collapsed="false">
      <c r="C37" s="13" t="s">
        <v>40</v>
      </c>
      <c r="D37" s="1" t="s">
        <v>38</v>
      </c>
      <c r="E37" s="10" t="n">
        <f aca="false">2*((D23/D27*E23/E27)+2+D25)</f>
        <v>9348</v>
      </c>
      <c r="F37" s="1" t="n">
        <f aca="false">E37*1000/1000000*F6</f>
        <v>1.49568</v>
      </c>
      <c r="G37" s="13" t="n">
        <f aca="false">SUM(F37:F38)</f>
        <v>1.88928</v>
      </c>
      <c r="H37" s="13" t="n">
        <f aca="false">G37*10</f>
        <v>18.8928</v>
      </c>
    </row>
    <row r="38" customFormat="false" ht="12.8" hidden="false" customHeight="false" outlineLevel="0" collapsed="false">
      <c r="C38" s="13"/>
      <c r="D38" s="1" t="s">
        <v>39</v>
      </c>
      <c r="E38" s="1" t="n">
        <v>615</v>
      </c>
      <c r="F38" s="1" t="n">
        <f aca="false">E38*1000/1000000*F7</f>
        <v>0.3936</v>
      </c>
      <c r="G38" s="13"/>
      <c r="H38" s="13"/>
    </row>
    <row r="39" customFormat="false" ht="12.8" hidden="false" customHeight="true" outlineLevel="0" collapsed="false">
      <c r="C39" s="14" t="s">
        <v>41</v>
      </c>
      <c r="D39" s="1" t="s">
        <v>38</v>
      </c>
      <c r="E39" s="10" t="n">
        <f aca="false">2*((D23/D27*E23/E27)+2+D25)</f>
        <v>9348</v>
      </c>
      <c r="F39" s="12" t="n">
        <f aca="false">E39*1000/1000000*D6</f>
        <v>3.7392</v>
      </c>
      <c r="G39" s="15" t="n">
        <f aca="false">SUM(F39:F40)</f>
        <v>4.7232</v>
      </c>
      <c r="H39" s="15" t="n">
        <f aca="false">G39*10</f>
        <v>47.232</v>
      </c>
    </row>
    <row r="40" customFormat="false" ht="12.8" hidden="false" customHeight="false" outlineLevel="0" collapsed="false">
      <c r="C40" s="14"/>
      <c r="D40" s="1" t="s">
        <v>39</v>
      </c>
      <c r="E40" s="1" t="n">
        <v>615</v>
      </c>
      <c r="F40" s="12" t="n">
        <f aca="false">E40*1000/1000000*D7</f>
        <v>0.984</v>
      </c>
      <c r="G40" s="15"/>
      <c r="H40" s="15"/>
    </row>
  </sheetData>
  <mergeCells count="14">
    <mergeCell ref="D4:F4"/>
    <mergeCell ref="C13:G13"/>
    <mergeCell ref="D14:E14"/>
    <mergeCell ref="F14:G14"/>
    <mergeCell ref="C34:E34"/>
    <mergeCell ref="C35:C36"/>
    <mergeCell ref="G35:G36"/>
    <mergeCell ref="H35:H36"/>
    <mergeCell ref="C37:C38"/>
    <mergeCell ref="G37:G38"/>
    <mergeCell ref="H37:H38"/>
    <mergeCell ref="C39:C40"/>
    <mergeCell ref="G39:G40"/>
    <mergeCell ref="H39:H4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2026-02-02T18:57:10Z</dcterms:created>
  <dc:creator/>
  <dc:description/>
  <dc:language>en-US</dc:language>
  <cp:lastModifiedBy/>
  <dcterms:modified xsi:type="dcterms:W3CDTF">2026-02-07T19:15:51Z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